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ic K\Desktop\Leistung L02\"/>
    </mc:Choice>
  </mc:AlternateContent>
  <xr:revisionPtr revIDLastSave="0" documentId="13_ncr:1_{A3BC26B2-6F55-4A9C-85F0-D5EF4CA261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M2" i="1"/>
  <c r="K2" i="1" a="1"/>
  <c r="K2" i="1" s="1"/>
  <c r="I2" i="1"/>
  <c r="G2" i="1"/>
  <c r="E2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<sst xmlns="http://schemas.openxmlformats.org/spreadsheetml/2006/main" count="8" uniqueCount="8">
  <si>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Rangliste</t>
  </si>
  <si>
    <t>Modus</t>
  </si>
  <si>
    <t>Arithmetischer Mittelwert</t>
  </si>
  <si>
    <t>Median</t>
  </si>
  <si>
    <t>Spannweite</t>
  </si>
  <si>
    <t>Median Absolute Abweichung (MAD)</t>
  </si>
  <si>
    <t>Stichprobenvarianz</t>
  </si>
  <si>
    <t>variationskoeffizient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</si>
</sst>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H1" zoomScale="104" workbookViewId="0">
      <selection activeCell="O3" sqref="O3"/>
    </sheetView>
  </sheetViews>
  <sheetFormatPr defaultRowHeight="15" x14ac:dyDescent="0.25"/>
  <cols>
    <col min="3" max="3" width="13.85546875" customWidth="1"/>
    <col min="5" max="5" width="28.5703125" customWidth="1"/>
    <col min="7" max="7" width="16.28515625" customWidth="1"/>
    <col min="9" max="9" width="19.5703125" customWidth="1"/>
    <col min="12" max="12" width="29.5703125" customWidth="1"/>
    <col min="13" max="13" width="99.5703125" customWidth="1"/>
  </cols>
  <sheetData>
    <row r="1" spans="1:15" x14ac:dyDescent="0.25">
      <c r="A1" t="s">
        <v>0</v>
      </c>
      <c r="C1" s="1" t="s">
        <v>1</v>
      </c>
      <c r="E1" s="1" t="s">
        <v>2</v>
      </c>
      <c r="G1" s="1" t="s">
        <v>3</v>
      </c>
      <c r="I1" t="s">
        <v>4</v>
      </c>
      <c r="K1" t="s">
        <v>5</v>
      </c>
      <c r="M1" t="s">
        <v>6</v>
      </c>
      <c r="O1" t="s">
        <v>7</v>
      </c>
    </row>
    <row r="2" spans="1:15" x14ac:dyDescent="0.25">
      <c r="A2">
        <v>1806653</v>
      </c>
      <c r="C2" s="1" t="str" cm="1">
        <f t="array" ref="C2">_xlfn.IFNA(_xlfn.MODE.MULT(A2:A58),"Kein Modus")</f>
        <v>Kein Modus</v>
      </c>
      <c r="E2" s="1">
        <f>AVERAGE(A2:A58)</f>
        <v>6432917.5789473681</v>
      </c>
      <c r="G2" s="1">
        <f>MEDIAN(A2:A58)</f>
        <v>6727618</v>
      </c>
      <c r="I2">
        <f>(MAX(A2:A58)-MIN(A2:A58))</f>
        <v>12089212</v>
      </c>
      <c r="K2" cm="1">
        <f t="array" ref="K2">MEDIAN(ABS(A2:A58 - MEDIAN(A2:A58)))</f>
        <v>2097889</v>
      </c>
      <c r="M2">
        <f>_xlfn.VAR.S(A2:A58)</f>
        <v>7452070081021.2861</v>
      </c>
      <c r="O2">
        <f>_xlfn.STDEV.P(A2:A58)/AVERAGE(A2:A58)</f>
        <v>0.4206172346706748</v>
      </c>
    </row>
    <row r="3" spans="1:15" x14ac:dyDescent="0.25">
      <c r="A3">
        <v>1924229</v>
      </c>
    </row>
    <row r="4" spans="1:15" x14ac:dyDescent="0.25">
      <c r="A4">
        <v>2381061</v>
      </c>
    </row>
    <row r="5" spans="1:15" x14ac:dyDescent="0.25">
      <c r="A5">
        <v>2976497</v>
      </c>
    </row>
    <row r="6" spans="1:15" x14ac:dyDescent="0.25">
      <c r="A6">
        <v>3438711</v>
      </c>
    </row>
    <row r="7" spans="1:15" x14ac:dyDescent="0.25">
      <c r="A7">
        <v>3526568</v>
      </c>
    </row>
    <row r="8" spans="1:15" x14ac:dyDescent="0.25">
      <c r="A8">
        <v>3948278</v>
      </c>
    </row>
    <row r="9" spans="1:15" x14ac:dyDescent="0.25">
      <c r="A9">
        <v>3948337</v>
      </c>
    </row>
    <row r="10" spans="1:15" x14ac:dyDescent="0.25">
      <c r="A10">
        <v>3966200</v>
      </c>
    </row>
    <row r="11" spans="1:15" x14ac:dyDescent="0.25">
      <c r="A11">
        <v>3981061</v>
      </c>
    </row>
    <row r="12" spans="1:15" x14ac:dyDescent="0.25">
      <c r="A12">
        <v>4089594</v>
      </c>
    </row>
    <row r="13" spans="1:15" x14ac:dyDescent="0.25">
      <c r="A13">
        <v>4127366</v>
      </c>
    </row>
    <row r="14" spans="1:15" x14ac:dyDescent="0.25">
      <c r="A14">
        <v>4143836</v>
      </c>
    </row>
    <row r="15" spans="1:15" x14ac:dyDescent="0.25">
      <c r="A15">
        <v>4363648</v>
      </c>
    </row>
    <row r="16" spans="1:15" x14ac:dyDescent="0.25">
      <c r="A16">
        <v>4378942</v>
      </c>
    </row>
    <row r="17" spans="1:1" x14ac:dyDescent="0.25">
      <c r="A17">
        <v>4453308</v>
      </c>
    </row>
    <row r="18" spans="1:1" x14ac:dyDescent="0.25">
      <c r="A18">
        <v>4489105</v>
      </c>
    </row>
    <row r="19" spans="1:1" x14ac:dyDescent="0.25">
      <c r="A19">
        <v>4512679</v>
      </c>
    </row>
    <row r="20" spans="1:1" x14ac:dyDescent="0.25">
      <c r="A20">
        <v>4534863</v>
      </c>
    </row>
    <row r="21" spans="1:1" x14ac:dyDescent="0.25">
      <c r="A21">
        <v>4629729</v>
      </c>
    </row>
    <row r="22" spans="1:1" x14ac:dyDescent="0.25">
      <c r="A22">
        <v>4630218</v>
      </c>
    </row>
    <row r="23" spans="1:1" x14ac:dyDescent="0.25">
      <c r="A23">
        <v>4666917</v>
      </c>
    </row>
    <row r="24" spans="1:1" x14ac:dyDescent="0.25">
      <c r="A24">
        <v>4845882</v>
      </c>
    </row>
    <row r="25" spans="1:1" x14ac:dyDescent="0.25">
      <c r="A25">
        <v>5342487</v>
      </c>
    </row>
    <row r="26" spans="1:1" x14ac:dyDescent="0.25">
      <c r="A26">
        <v>5882267</v>
      </c>
    </row>
    <row r="27" spans="1:1" x14ac:dyDescent="0.25">
      <c r="A27">
        <v>6495792</v>
      </c>
    </row>
    <row r="28" spans="1:1" x14ac:dyDescent="0.25">
      <c r="A28">
        <v>6694776</v>
      </c>
    </row>
    <row r="29" spans="1:1" x14ac:dyDescent="0.25">
      <c r="A29">
        <v>6717115</v>
      </c>
    </row>
    <row r="30" spans="1:1" x14ac:dyDescent="0.25">
      <c r="A30">
        <v>6727618</v>
      </c>
    </row>
    <row r="31" spans="1:1" x14ac:dyDescent="0.25">
      <c r="A31">
        <v>6744879</v>
      </c>
    </row>
    <row r="32" spans="1:1" x14ac:dyDescent="0.25">
      <c r="A32">
        <v>6751004</v>
      </c>
    </row>
    <row r="33" spans="1:1" x14ac:dyDescent="0.25">
      <c r="A33">
        <v>6753621</v>
      </c>
    </row>
    <row r="34" spans="1:1" x14ac:dyDescent="0.25">
      <c r="A34">
        <v>6755810</v>
      </c>
    </row>
    <row r="35" spans="1:1" x14ac:dyDescent="0.25">
      <c r="A35">
        <v>6878117</v>
      </c>
    </row>
    <row r="36" spans="1:1" x14ac:dyDescent="0.25">
      <c r="A36">
        <v>6930896</v>
      </c>
    </row>
    <row r="37" spans="1:1" x14ac:dyDescent="0.25">
      <c r="A37">
        <v>6990510</v>
      </c>
    </row>
    <row r="38" spans="1:1" x14ac:dyDescent="0.25">
      <c r="A38">
        <v>7173866</v>
      </c>
    </row>
    <row r="39" spans="1:1" x14ac:dyDescent="0.25">
      <c r="A39">
        <v>7213708</v>
      </c>
    </row>
    <row r="40" spans="1:1" x14ac:dyDescent="0.25">
      <c r="A40">
        <v>7296817</v>
      </c>
    </row>
    <row r="41" spans="1:1" x14ac:dyDescent="0.25">
      <c r="A41">
        <v>7314046</v>
      </c>
    </row>
    <row r="42" spans="1:1" x14ac:dyDescent="0.25">
      <c r="A42">
        <v>7318628</v>
      </c>
    </row>
    <row r="43" spans="1:1" x14ac:dyDescent="0.25">
      <c r="A43">
        <v>7319593</v>
      </c>
    </row>
    <row r="44" spans="1:1" x14ac:dyDescent="0.25">
      <c r="A44">
        <v>7334765</v>
      </c>
    </row>
    <row r="45" spans="1:1" x14ac:dyDescent="0.25">
      <c r="A45">
        <v>7335592</v>
      </c>
    </row>
    <row r="46" spans="1:1" x14ac:dyDescent="0.25">
      <c r="A46">
        <v>7343591</v>
      </c>
    </row>
    <row r="47" spans="1:1" x14ac:dyDescent="0.25">
      <c r="A47">
        <v>7365833</v>
      </c>
    </row>
    <row r="48" spans="1:1" x14ac:dyDescent="0.25">
      <c r="A48">
        <v>7633628</v>
      </c>
    </row>
    <row r="49" spans="1:1" x14ac:dyDescent="0.25">
      <c r="A49">
        <v>8152968</v>
      </c>
    </row>
    <row r="50" spans="1:1" x14ac:dyDescent="0.25">
      <c r="A50">
        <v>9107893</v>
      </c>
    </row>
    <row r="51" spans="1:1" x14ac:dyDescent="0.25">
      <c r="A51">
        <v>10039080</v>
      </c>
    </row>
    <row r="52" spans="1:1" x14ac:dyDescent="0.25">
      <c r="A52">
        <v>10623940</v>
      </c>
    </row>
    <row r="53" spans="1:1" x14ac:dyDescent="0.25">
      <c r="A53">
        <v>10915455</v>
      </c>
    </row>
    <row r="54" spans="1:1" x14ac:dyDescent="0.25">
      <c r="A54">
        <v>11228300</v>
      </c>
    </row>
    <row r="55" spans="1:1" x14ac:dyDescent="0.25">
      <c r="A55">
        <v>11432460</v>
      </c>
    </row>
    <row r="56" spans="1:1" x14ac:dyDescent="0.25">
      <c r="A56">
        <v>11817790</v>
      </c>
    </row>
    <row r="57" spans="1:1" x14ac:dyDescent="0.25">
      <c r="A57">
        <v>13383910</v>
      </c>
    </row>
    <row r="58" spans="1:1" x14ac:dyDescent="0.25">
      <c r="A58">
        <v>13895865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</dc:creator>
  <cp:lastModifiedBy>Eric Klejman</cp:lastModifiedBy>
  <dcterms:created xsi:type="dcterms:W3CDTF">2015-06-05T18:19:34Z</dcterms:created>
  <dcterms:modified xsi:type="dcterms:W3CDTF">2026-01-31T20:51:59Z</dcterms:modified>
</cp:coreProperties>
</file>